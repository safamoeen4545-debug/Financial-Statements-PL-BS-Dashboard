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779" firstSheet="1" activeTab="3"/>
  </bookViews>
  <sheets>
    <sheet name="Charts of Accounts" sheetId="1" r:id="rId1"/>
    <sheet name="Genral Entries" sheetId="2" r:id="rId2"/>
    <sheet name="Ledger" sheetId="3" r:id="rId3"/>
    <sheet name="Trail Balance" sheetId="6" r:id="rId4"/>
    <sheet name="Income Statement" sheetId="5" r:id="rId5"/>
    <sheet name="Balance Sheet" sheetId="8" r:id="rId6"/>
  </sheets>
  <definedNames>
    <definedName name="Slicer_Account">#N/A</definedName>
    <definedName name="_xlnm._FilterDatabase" localSheetId="3" hidden="1">'Trail Balance'!$A$1:$F$16</definedName>
    <definedName name="_xlnm.Print_Area" localSheetId="5">'Balance Sheet'!$A$1:$F$43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<sst xmlns="http://schemas.openxmlformats.org/spreadsheetml/2006/main" count="242" uniqueCount="90">
  <si>
    <t>Sample Legacy Pvt Limited</t>
  </si>
  <si>
    <t>Charts of Accounts</t>
  </si>
  <si>
    <t>For the Year 30 june 2024</t>
  </si>
  <si>
    <t>Account Categories</t>
  </si>
  <si>
    <t>Sub Account</t>
  </si>
  <si>
    <t>Label-Financial Statement</t>
  </si>
  <si>
    <t>Indiviual Account</t>
  </si>
  <si>
    <t>Assets</t>
  </si>
  <si>
    <t>Non-Current Assets</t>
  </si>
  <si>
    <t>Balace Sheet</t>
  </si>
  <si>
    <t>Cash</t>
  </si>
  <si>
    <t>Current Assets</t>
  </si>
  <si>
    <t>Liablity</t>
  </si>
  <si>
    <t>Equity</t>
  </si>
  <si>
    <t>Non-Current Liablity</t>
  </si>
  <si>
    <t>Bank</t>
  </si>
  <si>
    <t>Expenses</t>
  </si>
  <si>
    <t>Current Liablity</t>
  </si>
  <si>
    <t>Mega Mart-Vendor</t>
  </si>
  <si>
    <t>Revenue</t>
  </si>
  <si>
    <t>Inventory</t>
  </si>
  <si>
    <t>Income Statement</t>
  </si>
  <si>
    <t>Sale</t>
  </si>
  <si>
    <t>Expense</t>
  </si>
  <si>
    <t>Mr.Rehman-Customer</t>
  </si>
  <si>
    <t>Office Supplier</t>
  </si>
  <si>
    <t>Computer</t>
  </si>
  <si>
    <t>Salaries</t>
  </si>
  <si>
    <t>Rent</t>
  </si>
  <si>
    <t>Entertainment Expense</t>
  </si>
  <si>
    <t>Cost of Goods Sold</t>
  </si>
  <si>
    <t>Tax</t>
  </si>
  <si>
    <t>Govt</t>
  </si>
  <si>
    <t>Date</t>
  </si>
  <si>
    <t>Description</t>
  </si>
  <si>
    <t>Account</t>
  </si>
  <si>
    <t>Debit</t>
  </si>
  <si>
    <t>Credit</t>
  </si>
  <si>
    <t>Details/Narration</t>
  </si>
  <si>
    <t>Established Business</t>
  </si>
  <si>
    <t>Started Business with 5,000,000/- with Cash on 1st July 2023.</t>
  </si>
  <si>
    <t>Cash Deposited into bank</t>
  </si>
  <si>
    <t>Deposited 1,500,000/- in Bank on 2nd July 2023.</t>
  </si>
  <si>
    <t>Inventory Purchased</t>
  </si>
  <si>
    <t>Inventory purchased of 750,000 on credit from Mega Mart on 5 July 2023</t>
  </si>
  <si>
    <t>Inventory purchased of 500,000 from Multi Media on 7 July 2023.</t>
  </si>
  <si>
    <t>Inventory Sold</t>
  </si>
  <si>
    <t>Sold inventory on Credit to Mr. Rehman of 400,000 on 10 July 2023.</t>
  </si>
  <si>
    <t>Sold inventory on Cash of 300,000 on 14 July 2023.</t>
  </si>
  <si>
    <t>Inventory Adjustment</t>
  </si>
  <si>
    <t>Expense Incurred</t>
  </si>
  <si>
    <t>Expenses incurred in office of 45,000 on 16 July 2023.</t>
  </si>
  <si>
    <t>Entertainment Expenses incurred of 70,000 on 18 July 2023.</t>
  </si>
  <si>
    <t>Computer Purchased</t>
  </si>
  <si>
    <t>Computer purchased for 250,000 on 27 July 2023.</t>
  </si>
  <si>
    <t>Salary Paid</t>
  </si>
  <si>
    <t>Salary Paid on 1st August for 110,000/-</t>
  </si>
  <si>
    <t>Rent Paid</t>
  </si>
  <si>
    <t>Rent paid to Mr. Abbas on 2nd Aug of 35,000/-</t>
  </si>
  <si>
    <t>Tax Working Adj.</t>
  </si>
  <si>
    <t>Ledger</t>
  </si>
  <si>
    <t>Sum of Debit</t>
  </si>
  <si>
    <t>Sum of Credit</t>
  </si>
  <si>
    <t>Sum of Balance</t>
  </si>
  <si>
    <t>10-Jul</t>
  </si>
  <si>
    <t>14-Jul</t>
  </si>
  <si>
    <t>Grand Total</t>
  </si>
  <si>
    <t>Sub-Account</t>
  </si>
  <si>
    <t>Label to FS</t>
  </si>
  <si>
    <t>For the Year ended June 30, 2024</t>
  </si>
  <si>
    <t>Amount (PKR)</t>
  </si>
  <si>
    <t>Gross Profit</t>
  </si>
  <si>
    <t>Operating Expense</t>
  </si>
  <si>
    <t>Operating profit</t>
  </si>
  <si>
    <t>Tax-30%</t>
  </si>
  <si>
    <t>Net Profit</t>
  </si>
  <si>
    <t>BalanceSheet</t>
  </si>
  <si>
    <t>As at June 30, 2024</t>
  </si>
  <si>
    <t>Total Non-Current Assets</t>
  </si>
  <si>
    <t>Total Assets</t>
  </si>
  <si>
    <t>Liabilities and Equity</t>
  </si>
  <si>
    <t>Non-Current Liabilities</t>
  </si>
  <si>
    <t>-</t>
  </si>
  <si>
    <t>Total Non-Current Liabilities</t>
  </si>
  <si>
    <t>Current Liabilities</t>
  </si>
  <si>
    <t>Total Current Liabilities</t>
  </si>
  <si>
    <t>Net Income</t>
  </si>
  <si>
    <t>Total Equity</t>
  </si>
  <si>
    <t>Total Liabilities and Equity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</si>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</sst>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_);\(#,##0\)"/>
    <numFmt numFmtId="177" formatCode="dd\-mmm\-yy"/>
  </numFmts>
  <fonts count="34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8"/>
      <color theme="0"/>
      <name val="Calibri"/>
      <charset val="134"/>
      <scheme val="minor"/>
    </font>
    <font>
      <i/>
      <sz val="18"/>
      <color theme="8" tint="-0.249977111117893"/>
      <name val="Calibri"/>
      <charset val="134"/>
      <scheme val="minor"/>
    </font>
    <font>
      <sz val="11"/>
      <color rgb="FF0F1115"/>
      <name val="Calibri"/>
      <charset val="134"/>
      <scheme val="minor"/>
    </font>
    <font>
      <sz val="11"/>
      <color rgb="FF0F1115"/>
      <name val="Calbri"/>
      <charset val="134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8" tint="-0.499984740745262"/>
      </top>
      <bottom style="thin">
        <color auto="1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thin">
        <color theme="8"/>
      </right>
      <top style="thin">
        <color theme="8" tint="0.799951170384838"/>
      </top>
      <bottom style="thin">
        <color theme="8" tint="0.79995117038483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3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2" fillId="0" borderId="0" xfId="0" applyFont="1" applyBorder="1"/>
    <xf numFmtId="0" fontId="0" fillId="0" borderId="0" xfId="0" applyBorder="1"/>
    <xf numFmtId="3" fontId="0" fillId="0" borderId="0" xfId="0" applyNumberFormat="1" applyBorder="1"/>
    <xf numFmtId="0" fontId="3" fillId="2" borderId="0" xfId="0" applyFont="1" applyFill="1"/>
    <xf numFmtId="0" fontId="4" fillId="2" borderId="0" xfId="0" applyFont="1" applyFill="1"/>
    <xf numFmtId="3" fontId="5" fillId="2" borderId="0" xfId="0" applyNumberFormat="1" applyFont="1" applyFill="1"/>
    <xf numFmtId="0" fontId="0" fillId="3" borderId="0" xfId="0" applyFill="1"/>
    <xf numFmtId="3" fontId="0" fillId="3" borderId="0" xfId="0" applyNumberFormat="1" applyFill="1"/>
    <xf numFmtId="0" fontId="6" fillId="3" borderId="0" xfId="0" applyFont="1" applyFill="1"/>
    <xf numFmtId="0" fontId="0" fillId="2" borderId="0" xfId="0" applyFill="1"/>
    <xf numFmtId="3" fontId="0" fillId="2" borderId="0" xfId="0" applyNumberFormat="1" applyFill="1"/>
    <xf numFmtId="3" fontId="0" fillId="0" borderId="2" xfId="0" applyNumberFormat="1" applyBorder="1"/>
    <xf numFmtId="0" fontId="7" fillId="3" borderId="0" xfId="0" applyFont="1" applyFill="1"/>
    <xf numFmtId="0" fontId="5" fillId="2" borderId="0" xfId="0" applyFont="1" applyFill="1"/>
    <xf numFmtId="176" fontId="0" fillId="0" borderId="0" xfId="0" applyNumberFormat="1"/>
    <xf numFmtId="176" fontId="0" fillId="0" borderId="2" xfId="0" applyNumberFormat="1" applyBorder="1"/>
    <xf numFmtId="0" fontId="8" fillId="3" borderId="0" xfId="0" applyFont="1" applyFill="1"/>
    <xf numFmtId="3" fontId="0" fillId="3" borderId="3" xfId="0" applyNumberFormat="1" applyFill="1" applyBorder="1"/>
    <xf numFmtId="0" fontId="9" fillId="0" borderId="4" xfId="0" applyFont="1" applyBorder="1"/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/>
    </xf>
    <xf numFmtId="177" fontId="11" fillId="0" borderId="5" xfId="0" applyNumberFormat="1" applyFont="1" applyBorder="1"/>
    <xf numFmtId="177" fontId="0" fillId="0" borderId="0" xfId="0" applyNumberFormat="1"/>
    <xf numFmtId="0" fontId="12" fillId="0" borderId="0" xfId="0" applyFont="1"/>
    <xf numFmtId="0" fontId="13" fillId="0" borderId="0" xfId="0" applyFont="1"/>
    <xf numFmtId="0" fontId="14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3" formatCode="#,##0"/>
    </dxf>
    <dxf>
      <numFmt numFmtId="3" formatCode="#,##0"/>
    </dxf>
    <dxf>
      <font>
        <name val="Calibri"/>
        <scheme val="none"/>
        <strike val="0"/>
        <u val="none"/>
        <sz val="11"/>
        <color rgb="FF0F1115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160020</xdr:colOff>
      <xdr:row>1</xdr:row>
      <xdr:rowOff>83820</xdr:rowOff>
    </xdr:from>
    <xdr:to>
      <xdr:col>9</xdr:col>
      <xdr:colOff>160020</xdr:colOff>
      <xdr:row>14</xdr:row>
      <xdr:rowOff>59055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Accou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ccou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39740" y="381000"/>
              <a:ext cx="185166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146.0034587963" refreshedBy="Safa Moeen" recordCount="28">
  <cacheSource type="worksheet">
    <worksheetSource name="Table1[[Date]:[Credit]]"/>
  </cacheSource>
  <cacheFields count="7">
    <cacheField name="Date" numFmtId="177">
      <sharedItems containsSemiMixedTypes="0" containsString="0" containsNonDate="0" containsDate="1" minDate="2023-07-01T00:00:00" maxDate="2023-08-02T00:00:00" count="13">
        <d v="2023-07-01T00:00:00"/>
        <d v="2023-07-02T00:00:00"/>
        <d v="2023-07-05T00:00:00"/>
        <d v="2023-07-07T00:00:00"/>
        <d v="2023-07-10T00:00:00"/>
        <d v="2023-07-14T00:00:00"/>
        <d v="2023-07-15T00:00:00"/>
        <d v="2023-07-16T00:00:00"/>
        <d v="2023-07-18T00:00:00"/>
        <d v="2023-07-19T00:00:00"/>
        <d v="2023-07-20T00:00:00"/>
        <d v="2023-08-01T00:00:00"/>
        <d v="2023-08-02T00:00:00"/>
      </sharedItems>
      <fieldGroup base="0">
        <rangePr groupBy="days" startDate="2023-07-01T00:00:00" endDate="2023-08-03T00:00:00" groupInterval="1"/>
        <groupItems count="368">
          <s v="&lt;01/07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/08/2023"/>
        </groupItems>
      </fieldGroup>
    </cacheField>
    <cacheField name="Description" numFmtId="0"/>
    <cacheField name="Account" numFmtId="0">
      <sharedItems count="15">
        <s v="Cash"/>
        <s v="Equity"/>
        <s v="Bank"/>
        <s v="Inventory"/>
        <s v="Mega Mart-Vendor"/>
        <s v="Mr.Rehman-Customer"/>
        <s v="Sale"/>
        <s v="Cost of Goods Sold"/>
        <s v="Office Supplier"/>
        <s v="Entertainment Expense"/>
        <s v="Computer"/>
        <s v="Salaries"/>
        <s v="Rent"/>
        <s v="Tax"/>
        <s v="Govt"/>
      </sharedItems>
    </cacheField>
    <cacheField name="Debit" numFmtId="3"/>
    <cacheField name="Credit" numFmtId="3"/>
    <cacheField name="Months" numFmtId="0" databaseField="0">
      <fieldGroup base="0">
        <rangePr groupBy="months" startDate="2023-07-01T00:00:00" endDate="2023-08-03T00:00:00" groupInterval="1"/>
        <groupItems count="14">
          <s v="&lt;01/0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/08/2023"/>
        </groupItems>
      </fieldGroup>
    </cacheField>
    <cacheField name="Balance" numFmtId="0" formula="Debit-Credit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s v="Established Business"/>
    <x v="0"/>
    <n v="5000000"/>
    <m/>
  </r>
  <r>
    <x v="0"/>
    <s v="Established Business"/>
    <x v="1"/>
    <m/>
    <n v="5000000"/>
  </r>
  <r>
    <x v="1"/>
    <s v="Cash Deposited into bank"/>
    <x v="2"/>
    <n v="1500000"/>
    <m/>
  </r>
  <r>
    <x v="1"/>
    <s v="Cash Deposited into bank"/>
    <x v="0"/>
    <m/>
    <n v="1500000"/>
  </r>
  <r>
    <x v="2"/>
    <s v="Inventory Purchased"/>
    <x v="3"/>
    <n v="750000"/>
    <m/>
  </r>
  <r>
    <x v="2"/>
    <s v="Inventory Purchased"/>
    <x v="4"/>
    <m/>
    <n v="750000"/>
  </r>
  <r>
    <x v="3"/>
    <s v="Inventory Purchased"/>
    <x v="0"/>
    <n v="500000"/>
    <m/>
  </r>
  <r>
    <x v="3"/>
    <s v="Inventory Purchased"/>
    <x v="2"/>
    <m/>
    <n v="500000"/>
  </r>
  <r>
    <x v="4"/>
    <s v="Inventory Sold"/>
    <x v="5"/>
    <n v="800000"/>
    <m/>
  </r>
  <r>
    <x v="4"/>
    <s v="Inventory Sold"/>
    <x v="6"/>
    <m/>
    <n v="800000"/>
  </r>
  <r>
    <x v="5"/>
    <s v="Inventory Sold"/>
    <x v="0"/>
    <n v="425000"/>
    <m/>
  </r>
  <r>
    <x v="5"/>
    <s v="Inventory Sold"/>
    <x v="6"/>
    <m/>
    <n v="425000"/>
  </r>
  <r>
    <x v="6"/>
    <s v="Inventory Adjustment"/>
    <x v="7"/>
    <n v="290000"/>
    <m/>
  </r>
  <r>
    <x v="6"/>
    <s v="Inventory Adjustment"/>
    <x v="3"/>
    <m/>
    <n v="290000"/>
  </r>
  <r>
    <x v="6"/>
    <s v="Inventory Adjustment"/>
    <x v="7"/>
    <n v="200000"/>
    <m/>
  </r>
  <r>
    <x v="6"/>
    <s v="Inventory Adjustment"/>
    <x v="3"/>
    <m/>
    <n v="200000"/>
  </r>
  <r>
    <x v="7"/>
    <s v="Expense Incurred"/>
    <x v="8"/>
    <n v="45000"/>
    <m/>
  </r>
  <r>
    <x v="7"/>
    <s v="Expense Incurred"/>
    <x v="2"/>
    <m/>
    <n v="45000"/>
  </r>
  <r>
    <x v="8"/>
    <s v="Entertainment Expense"/>
    <x v="9"/>
    <n v="70000"/>
    <m/>
  </r>
  <r>
    <x v="8"/>
    <s v="Entertainment Expense"/>
    <x v="2"/>
    <m/>
    <n v="70000"/>
  </r>
  <r>
    <x v="9"/>
    <s v="Computer Purchased"/>
    <x v="10"/>
    <n v="250000"/>
    <m/>
  </r>
  <r>
    <x v="10"/>
    <s v="Computer Purchased"/>
    <x v="2"/>
    <m/>
    <n v="250000"/>
  </r>
  <r>
    <x v="11"/>
    <s v="Salary Paid"/>
    <x v="11"/>
    <n v="110000"/>
    <m/>
  </r>
  <r>
    <x v="11"/>
    <s v="Salary Paid"/>
    <x v="2"/>
    <m/>
    <n v="110000"/>
  </r>
  <r>
    <x v="12"/>
    <s v="Rent Paid"/>
    <x v="12"/>
    <n v="35000"/>
    <m/>
  </r>
  <r>
    <x v="12"/>
    <s v="Rent Paid"/>
    <x v="2"/>
    <m/>
    <n v="35000"/>
  </r>
  <r>
    <x v="12"/>
    <s v="Tax Working Adj."/>
    <x v="13"/>
    <n v="142500"/>
    <m/>
  </r>
  <r>
    <x v="12"/>
    <s v="Tax Working Adj."/>
    <x v="14"/>
    <m/>
    <n v="14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compact="0" indent="0" compactData="0" showDrill="1" multipleFieldFilters="0">
  <location ref="A3:E6" firstHeaderRow="0" firstDataRow="1" firstDataCol="2"/>
  <pivotFields count="7">
    <pivotField axis="axisRow" compact="0" defaultSubtotal="0" outline="0" numFmtId="177" showAll="0">
      <items count="368">
        <item x="0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5">
        <item h="1" x="2"/>
        <item h="1" x="0"/>
        <item h="1" x="10"/>
        <item h="1" x="9"/>
        <item h="1" x="1"/>
        <item h="1" x="3"/>
        <item h="1" x="4"/>
        <item h="1" x="5"/>
        <item h="1" x="8"/>
        <item h="1" x="12"/>
        <item h="1" x="11"/>
        <item x="6"/>
        <item h="1" x="7"/>
        <item h="1" x="14"/>
        <item h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Col="0" dragToPage="0" dragToRow="0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2"/>
  </rowFields>
  <rowItems count="3">
    <i>
      <x v="129"/>
      <x v="11"/>
    </i>
    <i>
      <x v="133"/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bit" fld="3" baseField="2" baseItem="1" numFmtId="3"/>
    <dataField name="Sum of Credit" fld="4" baseField="2" baseItem="1" numFmtId="3"/>
    <dataField name="Sum of Balance" fld="6" baseField="0" baseItem="0" numFmtId="3"/>
  </dataFields>
  <pivotTableStyleInfo name="PivotStyleLight13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ccount" sourceName="Account">
  <pivotTables>
    <pivotTable tabId="3" name="PivotTable1"/>
  </pivotTables>
  <data>
    <tabular pivotCacheId="1">
      <items count="15">
        <i x="2" s="0"/>
        <i x="0" s="0"/>
        <i x="10" s="0"/>
        <i x="7" s="0"/>
        <i x="9" s="0"/>
        <i x="1" s="0"/>
        <i x="14" s="0"/>
        <i x="3" s="0"/>
        <i x="4" s="0"/>
        <i x="5" s="0"/>
        <i x="8" s="0"/>
        <i x="12" s="0"/>
        <i x="11" s="0"/>
        <i x="6" s="1"/>
        <i x="13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ccount" cache="Slicer_Account" caption="Account" startItem="8" rowHeight="234950"/>
</slicers>
</file>

<file path=xl/tables/table1.xml><?xml version="1.0" encoding="utf-8"?>
<table xmlns="http://schemas.openxmlformats.org/spreadsheetml/2006/main" id="1" name="Table1" displayName="Table1" ref="B4:G32" totalsRowShown="0">
  <tableColumns count="6">
    <tableColumn id="1" name="Date"/>
    <tableColumn id="2" name="Description"/>
    <tableColumn id="3" name="Account"/>
    <tableColumn id="4" name="Debit" dataDxfId="0"/>
    <tableColumn id="5" name="Credit" dataDxfId="1">
      <calculatedColumnFormula>E4</calculatedColumnFormula>
    </tableColumn>
    <tableColumn id="6" name="Details/Narration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zoomScale="107" zoomScaleNormal="107" workbookViewId="0">
      <selection activeCell="J14" sqref="J14"/>
    </sheetView>
  </sheetViews>
  <sheetFormatPr defaultColWidth="9" defaultRowHeight="14.4" outlineLevelCol="7"/>
  <cols>
    <col min="1" max="1" width="2.77777777777778" customWidth="1"/>
    <col min="2" max="2" width="26.3333333333333" customWidth="1"/>
    <col min="3" max="3" width="18.7777777777778" customWidth="1"/>
    <col min="4" max="5" width="23.6666666666667" customWidth="1"/>
    <col min="6" max="6" width="18.1111111111111" customWidth="1"/>
  </cols>
  <sheetData>
    <row r="1" ht="23.4" spans="2:8">
      <c r="B1" s="2" t="s">
        <v>0</v>
      </c>
    </row>
    <row r="2" ht="23.4" spans="2:8">
      <c r="B2" s="2" t="s">
        <v>1</v>
      </c>
    </row>
    <row r="3" ht="15.15" spans="2:8">
      <c r="B3" s="3" t="s">
        <v>2</v>
      </c>
      <c r="C3" s="4"/>
      <c r="D3" s="4"/>
      <c r="E3" s="4"/>
      <c r="F3" s="4"/>
      <c r="G3" s="4"/>
      <c r="H3" s="4"/>
    </row>
    <row r="4" spans="2:8">
      <c r="B4" s="32" t="s">
        <v>3</v>
      </c>
      <c r="C4" s="32" t="s">
        <v>4</v>
      </c>
      <c r="D4" s="32" t="s">
        <v>5</v>
      </c>
      <c r="E4" s="32" t="s">
        <v>6</v>
      </c>
      <c r="F4" s="32" t="s">
        <v>4</v>
      </c>
    </row>
    <row r="5" spans="2:8"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2:8">
      <c r="B6" t="s">
        <v>12</v>
      </c>
      <c r="C6" t="s">
        <v>11</v>
      </c>
      <c r="D6" t="s">
        <v>9</v>
      </c>
      <c r="E6" t="s">
        <v>13</v>
      </c>
      <c r="F6" t="s">
        <v>13</v>
      </c>
    </row>
    <row r="7" spans="2:8">
      <c r="B7" t="s">
        <v>13</v>
      </c>
      <c r="C7" t="s">
        <v>14</v>
      </c>
      <c r="D7" t="s">
        <v>9</v>
      </c>
      <c r="E7" t="s">
        <v>15</v>
      </c>
      <c r="F7" t="s">
        <v>11</v>
      </c>
    </row>
    <row r="8" spans="2:8">
      <c r="B8" t="s">
        <v>16</v>
      </c>
      <c r="C8" t="s">
        <v>17</v>
      </c>
      <c r="D8" t="s">
        <v>9</v>
      </c>
      <c r="E8" t="s">
        <v>18</v>
      </c>
      <c r="F8" t="s">
        <v>17</v>
      </c>
    </row>
    <row r="9" spans="2:8">
      <c r="B9" t="s">
        <v>19</v>
      </c>
      <c r="C9" t="s">
        <v>13</v>
      </c>
      <c r="D9" t="s">
        <v>9</v>
      </c>
      <c r="E9" t="s">
        <v>20</v>
      </c>
      <c r="F9" t="s">
        <v>11</v>
      </c>
    </row>
    <row r="10" spans="2:8">
      <c r="C10" t="s">
        <v>19</v>
      </c>
      <c r="D10" t="s">
        <v>21</v>
      </c>
      <c r="E10" t="s">
        <v>22</v>
      </c>
      <c r="F10" t="s">
        <v>19</v>
      </c>
    </row>
    <row r="11" spans="2:8">
      <c r="C11" t="s">
        <v>23</v>
      </c>
      <c r="D11" t="s">
        <v>21</v>
      </c>
      <c r="E11" t="s">
        <v>24</v>
      </c>
      <c r="F11" t="s">
        <v>11</v>
      </c>
    </row>
    <row r="12" spans="2:8">
      <c r="E12" t="s">
        <v>25</v>
      </c>
      <c r="F12" t="s">
        <v>23</v>
      </c>
    </row>
    <row r="13" spans="2:8">
      <c r="E13" t="s">
        <v>26</v>
      </c>
      <c r="F13" t="s">
        <v>8</v>
      </c>
    </row>
    <row r="14" spans="2:8">
      <c r="E14" t="s">
        <v>27</v>
      </c>
      <c r="F14" t="s">
        <v>23</v>
      </c>
    </row>
    <row r="15" spans="2:8">
      <c r="E15" t="s">
        <v>28</v>
      </c>
      <c r="F15" t="s">
        <v>23</v>
      </c>
    </row>
    <row r="16" spans="2:8">
      <c r="E16" t="s">
        <v>29</v>
      </c>
      <c r="F16" t="s">
        <v>23</v>
      </c>
    </row>
    <row r="17" spans="5:6">
      <c r="E17" t="s">
        <v>30</v>
      </c>
      <c r="F17" t="s">
        <v>23</v>
      </c>
    </row>
    <row r="18" spans="5:6">
      <c r="E18" t="s">
        <v>31</v>
      </c>
      <c r="F18" t="s">
        <v>23</v>
      </c>
    </row>
    <row r="19" spans="5:6">
      <c r="E19" t="s">
        <v>32</v>
      </c>
      <c r="F19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9"/>
  <sheetViews>
    <sheetView showGridLines="0" topLeftCell="A12" workbookViewId="0">
      <selection activeCell="M14" sqref="M14"/>
    </sheetView>
  </sheetViews>
  <sheetFormatPr defaultColWidth="9" defaultRowHeight="14.4"/>
  <cols>
    <col min="1" max="1" width="2.77777777777778" customWidth="1"/>
    <col min="2" max="2" width="9.66666666666667" customWidth="1"/>
    <col min="3" max="3" width="22.2222222222222" customWidth="1"/>
    <col min="4" max="4" width="20.5555555555556" customWidth="1"/>
    <col min="5" max="5" width="12.2222222222222" style="1" customWidth="1"/>
    <col min="6" max="6" width="10.7777777777778" style="1" customWidth="1"/>
    <col min="7" max="7" width="63.6666666666667" customWidth="1"/>
    <col min="8" max="8" width="2.77777777777778" customWidth="1"/>
  </cols>
  <sheetData>
    <row r="1" ht="23.4" spans="2:9">
      <c r="B1" s="2" t="s">
        <v>0</v>
      </c>
    </row>
    <row r="2" ht="23.4" spans="2:9">
      <c r="B2" s="2" t="s">
        <v>1</v>
      </c>
    </row>
    <row r="3" ht="15.15" spans="2:9">
      <c r="B3" s="6" t="s">
        <v>2</v>
      </c>
      <c r="C3" s="7"/>
      <c r="D3" s="7"/>
      <c r="E3" s="8"/>
      <c r="F3" s="8"/>
      <c r="G3" s="7"/>
      <c r="H3" s="4"/>
      <c r="I3" s="4"/>
    </row>
    <row r="4" spans="2:9">
      <c r="B4" t="s">
        <v>33</v>
      </c>
      <c r="C4" t="s">
        <v>34</v>
      </c>
      <c r="D4" t="s">
        <v>35</v>
      </c>
      <c r="E4" s="1" t="s">
        <v>36</v>
      </c>
      <c r="F4" s="1" t="s">
        <v>37</v>
      </c>
      <c r="G4" t="s">
        <v>38</v>
      </c>
    </row>
    <row r="5" spans="2:9">
      <c r="B5" s="29">
        <v>45108</v>
      </c>
      <c r="C5" t="s">
        <v>39</v>
      </c>
      <c r="D5" t="s">
        <v>10</v>
      </c>
      <c r="E5" s="1">
        <v>5000000</v>
      </c>
      <c r="G5" s="30" t="s">
        <v>40</v>
      </c>
    </row>
    <row r="6" spans="2:9">
      <c r="B6" s="29">
        <v>45108</v>
      </c>
      <c r="C6" t="s">
        <v>39</v>
      </c>
      <c r="D6" t="s">
        <v>13</v>
      </c>
      <c r="F6" s="1">
        <f t="shared" ref="F6" si="0">E5</f>
        <v>5000000</v>
      </c>
      <c r="G6" s="30"/>
    </row>
    <row r="7" spans="2:9">
      <c r="B7" s="29">
        <v>45109</v>
      </c>
      <c r="C7" t="s">
        <v>41</v>
      </c>
      <c r="D7" t="s">
        <v>15</v>
      </c>
      <c r="E7" s="1">
        <v>1500000</v>
      </c>
      <c r="G7" s="30" t="s">
        <v>42</v>
      </c>
    </row>
    <row r="8" spans="2:9">
      <c r="B8" s="29">
        <v>45109</v>
      </c>
      <c r="C8" t="s">
        <v>41</v>
      </c>
      <c r="D8" t="s">
        <v>10</v>
      </c>
      <c r="F8" s="1">
        <f>E7</f>
        <v>1500000</v>
      </c>
      <c r="G8" s="30"/>
    </row>
    <row r="9" spans="2:9">
      <c r="B9" s="29">
        <v>45112</v>
      </c>
      <c r="C9" t="s">
        <v>43</v>
      </c>
      <c r="D9" t="s">
        <v>20</v>
      </c>
      <c r="E9" s="1">
        <v>750000</v>
      </c>
      <c r="G9" s="30" t="s">
        <v>44</v>
      </c>
    </row>
    <row r="10" spans="2:9">
      <c r="B10" s="29">
        <v>45112</v>
      </c>
      <c r="C10" t="s">
        <v>43</v>
      </c>
      <c r="D10" t="s">
        <v>18</v>
      </c>
      <c r="F10" s="1">
        <f>E9</f>
        <v>750000</v>
      </c>
      <c r="G10" s="30"/>
    </row>
    <row r="11" spans="2:9">
      <c r="B11" s="29">
        <v>45114</v>
      </c>
      <c r="C11" t="s">
        <v>43</v>
      </c>
      <c r="D11" t="s">
        <v>10</v>
      </c>
      <c r="E11" s="1">
        <v>500000</v>
      </c>
      <c r="G11" s="31" t="s">
        <v>45</v>
      </c>
    </row>
    <row r="12" spans="2:9">
      <c r="B12" s="29">
        <v>45114</v>
      </c>
      <c r="C12" t="s">
        <v>43</v>
      </c>
      <c r="D12" t="s">
        <v>15</v>
      </c>
      <c r="F12" s="1">
        <f>E11</f>
        <v>500000</v>
      </c>
      <c r="G12" s="30"/>
    </row>
    <row r="13" spans="2:9">
      <c r="B13" s="29">
        <v>45117</v>
      </c>
      <c r="C13" t="s">
        <v>46</v>
      </c>
      <c r="D13" t="s">
        <v>24</v>
      </c>
      <c r="E13" s="1">
        <v>800000</v>
      </c>
      <c r="G13" s="31" t="s">
        <v>47</v>
      </c>
    </row>
    <row r="14" spans="2:9">
      <c r="B14" s="29">
        <v>45117</v>
      </c>
      <c r="C14" t="s">
        <v>46</v>
      </c>
      <c r="D14" t="s">
        <v>22</v>
      </c>
      <c r="F14" s="1">
        <f>E13</f>
        <v>800000</v>
      </c>
      <c r="G14" s="30"/>
    </row>
    <row r="15" spans="2:9">
      <c r="B15" s="29">
        <v>45121</v>
      </c>
      <c r="C15" t="s">
        <v>46</v>
      </c>
      <c r="D15" t="s">
        <v>10</v>
      </c>
      <c r="E15" s="1">
        <v>425000</v>
      </c>
      <c r="G15" s="31" t="s">
        <v>48</v>
      </c>
    </row>
    <row r="16" spans="2:9">
      <c r="B16" s="29">
        <v>45121</v>
      </c>
      <c r="C16" t="s">
        <v>46</v>
      </c>
      <c r="D16" t="s">
        <v>22</v>
      </c>
      <c r="F16" s="1">
        <f>E15</f>
        <v>425000</v>
      </c>
      <c r="G16" s="30"/>
    </row>
    <row r="17" spans="2:7">
      <c r="B17" s="29">
        <v>45122</v>
      </c>
      <c r="C17" t="s">
        <v>49</v>
      </c>
      <c r="D17" t="s">
        <v>30</v>
      </c>
      <c r="E17" s="1">
        <v>290000</v>
      </c>
      <c r="G17" s="30"/>
    </row>
    <row r="18" spans="2:7">
      <c r="B18" s="29">
        <v>45122</v>
      </c>
      <c r="C18" t="s">
        <v>49</v>
      </c>
      <c r="D18" t="s">
        <v>20</v>
      </c>
      <c r="F18" s="1">
        <f>E17</f>
        <v>290000</v>
      </c>
      <c r="G18" s="30"/>
    </row>
    <row r="19" spans="2:7">
      <c r="B19" s="29">
        <v>45122</v>
      </c>
      <c r="C19" t="s">
        <v>49</v>
      </c>
      <c r="D19" t="s">
        <v>30</v>
      </c>
      <c r="E19" s="1">
        <v>200000</v>
      </c>
      <c r="G19" s="30"/>
    </row>
    <row r="20" spans="2:7">
      <c r="B20" s="29">
        <v>45122</v>
      </c>
      <c r="C20" t="s">
        <v>49</v>
      </c>
      <c r="D20" t="s">
        <v>20</v>
      </c>
      <c r="F20" s="1">
        <f>E19</f>
        <v>200000</v>
      </c>
      <c r="G20" s="30"/>
    </row>
    <row r="21" spans="2:7">
      <c r="B21" s="29">
        <v>45123</v>
      </c>
      <c r="C21" t="s">
        <v>50</v>
      </c>
      <c r="D21" t="s">
        <v>25</v>
      </c>
      <c r="E21" s="1">
        <v>45000</v>
      </c>
      <c r="G21" s="31" t="s">
        <v>51</v>
      </c>
    </row>
    <row r="22" spans="2:7">
      <c r="B22" s="29">
        <v>45123</v>
      </c>
      <c r="C22" t="s">
        <v>50</v>
      </c>
      <c r="D22" t="s">
        <v>15</v>
      </c>
      <c r="F22" s="1">
        <f>E21</f>
        <v>45000</v>
      </c>
      <c r="G22" s="30"/>
    </row>
    <row r="23" spans="2:7">
      <c r="B23" s="29">
        <v>45125</v>
      </c>
      <c r="C23" t="s">
        <v>29</v>
      </c>
      <c r="D23" t="s">
        <v>29</v>
      </c>
      <c r="E23" s="1">
        <v>70000</v>
      </c>
      <c r="G23" s="31" t="s">
        <v>52</v>
      </c>
    </row>
    <row r="24" spans="2:7">
      <c r="B24" s="29">
        <v>45125</v>
      </c>
      <c r="C24" t="s">
        <v>29</v>
      </c>
      <c r="D24" t="s">
        <v>15</v>
      </c>
      <c r="F24" s="1">
        <f>E23</f>
        <v>70000</v>
      </c>
      <c r="G24" s="30"/>
    </row>
    <row r="25" spans="2:7">
      <c r="B25" s="29">
        <v>45126</v>
      </c>
      <c r="C25" t="s">
        <v>53</v>
      </c>
      <c r="D25" t="s">
        <v>26</v>
      </c>
      <c r="E25" s="1">
        <v>250000</v>
      </c>
      <c r="G25" s="31" t="s">
        <v>54</v>
      </c>
    </row>
    <row r="26" spans="2:7">
      <c r="B26" s="29">
        <v>45127</v>
      </c>
      <c r="C26" t="s">
        <v>53</v>
      </c>
      <c r="D26" t="s">
        <v>15</v>
      </c>
      <c r="F26" s="1">
        <f t="shared" ref="F26" si="1">E25</f>
        <v>250000</v>
      </c>
      <c r="G26" s="30"/>
    </row>
    <row r="27" spans="2:7">
      <c r="B27" s="29">
        <v>45139</v>
      </c>
      <c r="C27" t="s">
        <v>55</v>
      </c>
      <c r="D27" t="s">
        <v>27</v>
      </c>
      <c r="E27" s="1">
        <v>110000</v>
      </c>
      <c r="G27" s="30" t="s">
        <v>56</v>
      </c>
    </row>
    <row r="28" spans="2:7">
      <c r="B28" s="29">
        <v>45139</v>
      </c>
      <c r="C28" t="s">
        <v>55</v>
      </c>
      <c r="D28" t="s">
        <v>15</v>
      </c>
      <c r="F28" s="1">
        <f>E27</f>
        <v>110000</v>
      </c>
      <c r="G28" s="30"/>
    </row>
    <row r="29" spans="2:7">
      <c r="B29" s="29">
        <v>45140</v>
      </c>
      <c r="C29" t="s">
        <v>57</v>
      </c>
      <c r="D29" t="s">
        <v>28</v>
      </c>
      <c r="E29" s="1">
        <v>35000</v>
      </c>
      <c r="G29" s="30" t="s">
        <v>58</v>
      </c>
    </row>
    <row r="30" spans="2:7">
      <c r="B30" s="29">
        <v>45140</v>
      </c>
      <c r="C30" t="s">
        <v>57</v>
      </c>
      <c r="D30" t="s">
        <v>15</v>
      </c>
      <c r="F30" s="1">
        <f>E29</f>
        <v>35000</v>
      </c>
      <c r="G30" s="30"/>
    </row>
    <row r="31" spans="2:7">
      <c r="B31" s="29">
        <v>45140</v>
      </c>
      <c r="C31" t="s">
        <v>59</v>
      </c>
      <c r="D31" t="s">
        <v>31</v>
      </c>
      <c r="E31" s="1">
        <v>142500</v>
      </c>
      <c r="G31" s="30"/>
    </row>
    <row r="32" spans="2:7">
      <c r="B32" s="29">
        <v>45140</v>
      </c>
      <c r="C32" t="s">
        <v>59</v>
      </c>
      <c r="D32" t="s">
        <v>32</v>
      </c>
      <c r="F32" s="1">
        <f>E31</f>
        <v>142500</v>
      </c>
      <c r="G32" s="30"/>
    </row>
    <row r="33" spans="7:7">
      <c r="G33" s="30"/>
    </row>
    <row r="34" spans="7:7">
      <c r="G34" s="30"/>
    </row>
    <row r="35" spans="7:7">
      <c r="G35" s="30"/>
    </row>
    <row r="36" spans="7:7">
      <c r="G36" s="30"/>
    </row>
    <row r="37" spans="7:7">
      <c r="G37" s="30"/>
    </row>
    <row r="38" spans="7:7">
      <c r="G38" s="30"/>
    </row>
    <row r="39" spans="7:7">
      <c r="G39" s="30"/>
    </row>
  </sheetData>
  <dataValidations count="1">
    <dataValidation type="list" allowBlank="1" showInputMessage="1" showErrorMessage="1" sqref="D5:D32">
      <formula1>'Charts of Accounts'!$E:$E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showGridLines="0" workbookViewId="0">
      <selection activeCell="L10" sqref="L10"/>
    </sheetView>
  </sheetViews>
  <sheetFormatPr defaultColWidth="9" defaultRowHeight="14.4" outlineLevelRow="5" outlineLevelCol="4"/>
  <cols>
    <col min="1" max="1" width="11" customWidth="1"/>
    <col min="2" max="2" width="20" customWidth="1"/>
    <col min="3" max="3" width="11.8888888888889" customWidth="1"/>
    <col min="4" max="4" width="12.4444444444444" customWidth="1"/>
    <col min="5" max="5" width="14.1111111111111" customWidth="1"/>
  </cols>
  <sheetData>
    <row r="1" ht="23.4" spans="1:5">
      <c r="A1" s="27" t="s">
        <v>60</v>
      </c>
      <c r="B1" s="27"/>
      <c r="C1" s="27"/>
      <c r="D1" s="27"/>
      <c r="E1" s="27"/>
    </row>
    <row r="2" ht="23.4" spans="1:5">
      <c r="A2" s="28" t="str">
        <f>B4</f>
        <v>Sale</v>
      </c>
    </row>
    <row r="3" spans="1:5">
      <c r="A3" t="s">
        <v>33</v>
      </c>
      <c r="B3" t="s">
        <v>35</v>
      </c>
      <c r="C3" t="s">
        <v>61</v>
      </c>
      <c r="D3" t="s">
        <v>62</v>
      </c>
      <c r="E3" t="s">
        <v>63</v>
      </c>
    </row>
    <row r="4" spans="1:5">
      <c r="A4" t="s">
        <v>64</v>
      </c>
      <c r="B4" t="s">
        <v>22</v>
      </c>
      <c r="C4" s="1"/>
      <c r="D4" s="1">
        <v>800000</v>
      </c>
      <c r="E4" s="1">
        <v>-800000</v>
      </c>
    </row>
    <row r="5" spans="1:5">
      <c r="A5" t="s">
        <v>65</v>
      </c>
      <c r="B5" t="s">
        <v>22</v>
      </c>
      <c r="C5" s="1"/>
      <c r="D5" s="1">
        <v>425000</v>
      </c>
      <c r="E5" s="1">
        <v>-425000</v>
      </c>
    </row>
    <row r="6" spans="1:5">
      <c r="A6" t="s">
        <v>66</v>
      </c>
      <c r="B6"/>
      <c r="C6" s="1"/>
      <c r="D6" s="1">
        <v>1225000</v>
      </c>
      <c r="E6" s="1">
        <v>-1225000</v>
      </c>
    </row>
  </sheetData>
  <mergeCells count="1">
    <mergeCell ref="A1:E1"/>
  </mergeCells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showGridLines="0" tabSelected="1" workbookViewId="0">
      <selection activeCell="A1" sqref="$A1:$XFD1"/>
    </sheetView>
  </sheetViews>
  <sheetFormatPr defaultColWidth="9" defaultRowHeight="14.4" outlineLevelCol="5"/>
  <cols>
    <col min="1" max="1" width="20.5555555555556" customWidth="1"/>
    <col min="2" max="2" width="20" customWidth="1"/>
    <col min="3" max="3" width="11.8888888888889" customWidth="1"/>
    <col min="4" max="4" width="14.1111111111111" customWidth="1"/>
    <col min="5" max="5" width="18.4444444444444" customWidth="1"/>
    <col min="6" max="6" width="17.5555555555556" customWidth="1"/>
  </cols>
  <sheetData>
    <row r="1" ht="15.15" spans="1:6">
      <c r="A1" t="s">
        <v>35</v>
      </c>
      <c r="B1" t="s">
        <v>61</v>
      </c>
      <c r="C1" t="s">
        <v>62</v>
      </c>
      <c r="D1" t="s">
        <v>63</v>
      </c>
      <c r="E1" s="24" t="s">
        <v>67</v>
      </c>
      <c r="F1" s="24" t="s">
        <v>68</v>
      </c>
    </row>
    <row r="2" spans="1:6">
      <c r="A2" t="s">
        <v>15</v>
      </c>
      <c r="B2" s="1">
        <v>1500000</v>
      </c>
      <c r="C2" s="1">
        <v>1010000</v>
      </c>
      <c r="D2" s="1">
        <v>490000</v>
      </c>
      <c r="E2" s="25" t="s">
        <v>11</v>
      </c>
      <c r="F2" s="25" t="s">
        <v>9</v>
      </c>
    </row>
    <row r="3" spans="1:6">
      <c r="A3" t="s">
        <v>10</v>
      </c>
      <c r="B3" s="1">
        <v>5925000</v>
      </c>
      <c r="C3" s="1">
        <v>1500000</v>
      </c>
      <c r="D3" s="1">
        <v>4425000</v>
      </c>
      <c r="E3" s="25" t="s">
        <v>11</v>
      </c>
      <c r="F3" s="25" t="s">
        <v>9</v>
      </c>
    </row>
    <row r="4" spans="1:6">
      <c r="A4" t="s">
        <v>26</v>
      </c>
      <c r="B4" s="1">
        <v>250000</v>
      </c>
      <c r="C4" s="1"/>
      <c r="D4" s="1">
        <v>250000</v>
      </c>
      <c r="E4" s="25" t="s">
        <v>8</v>
      </c>
      <c r="F4" s="25" t="s">
        <v>9</v>
      </c>
    </row>
    <row r="5" spans="1:6">
      <c r="A5" t="s">
        <v>29</v>
      </c>
      <c r="B5" s="1">
        <v>70000</v>
      </c>
      <c r="C5" s="1"/>
      <c r="D5" s="1">
        <v>70000</v>
      </c>
      <c r="E5" s="25" t="s">
        <v>23</v>
      </c>
      <c r="F5" s="25" t="s">
        <v>21</v>
      </c>
    </row>
    <row r="6" spans="1:6">
      <c r="A6" t="s">
        <v>13</v>
      </c>
      <c r="B6" s="1"/>
      <c r="C6" s="1">
        <v>5000000</v>
      </c>
      <c r="D6" s="1">
        <v>-5000000</v>
      </c>
      <c r="E6" s="25" t="s">
        <v>13</v>
      </c>
      <c r="F6" s="25" t="s">
        <v>9</v>
      </c>
    </row>
    <row r="7" spans="1:6">
      <c r="A7" t="s">
        <v>20</v>
      </c>
      <c r="B7" s="1">
        <v>750000</v>
      </c>
      <c r="C7" s="1">
        <v>490000</v>
      </c>
      <c r="D7" s="1">
        <v>260000</v>
      </c>
      <c r="E7" s="25" t="s">
        <v>11</v>
      </c>
      <c r="F7" s="25" t="s">
        <v>9</v>
      </c>
    </row>
    <row r="8" spans="1:6">
      <c r="A8" t="s">
        <v>18</v>
      </c>
      <c r="B8" s="1"/>
      <c r="C8" s="1">
        <v>750000</v>
      </c>
      <c r="D8" s="1">
        <v>-750000</v>
      </c>
      <c r="E8" s="25" t="s">
        <v>17</v>
      </c>
      <c r="F8" s="25" t="s">
        <v>9</v>
      </c>
    </row>
    <row r="9" spans="1:6">
      <c r="A9" t="s">
        <v>24</v>
      </c>
      <c r="B9" s="1">
        <v>800000</v>
      </c>
      <c r="C9" s="1"/>
      <c r="D9" s="1">
        <v>800000</v>
      </c>
      <c r="E9" s="25" t="s">
        <v>11</v>
      </c>
      <c r="F9" s="25" t="s">
        <v>9</v>
      </c>
    </row>
    <row r="10" spans="1:6">
      <c r="A10" t="s">
        <v>25</v>
      </c>
      <c r="B10" s="1">
        <v>45000</v>
      </c>
      <c r="C10" s="1"/>
      <c r="D10" s="1">
        <v>45000</v>
      </c>
      <c r="E10" s="25" t="s">
        <v>23</v>
      </c>
      <c r="F10" s="25" t="s">
        <v>21</v>
      </c>
    </row>
    <row r="11" spans="1:6">
      <c r="A11" t="s">
        <v>28</v>
      </c>
      <c r="B11" s="1">
        <v>35000</v>
      </c>
      <c r="C11" s="1"/>
      <c r="D11" s="1">
        <v>35000</v>
      </c>
      <c r="E11" s="25" t="s">
        <v>23</v>
      </c>
      <c r="F11" s="25" t="s">
        <v>21</v>
      </c>
    </row>
    <row r="12" spans="1:6">
      <c r="A12" t="s">
        <v>27</v>
      </c>
      <c r="B12" s="1">
        <v>110000</v>
      </c>
      <c r="C12" s="1"/>
      <c r="D12" s="1">
        <v>110000</v>
      </c>
      <c r="E12" s="25" t="s">
        <v>23</v>
      </c>
      <c r="F12" s="25" t="s">
        <v>21</v>
      </c>
    </row>
    <row r="13" spans="1:6">
      <c r="A13" t="s">
        <v>22</v>
      </c>
      <c r="B13" s="1"/>
      <c r="C13" s="1">
        <v>1225000</v>
      </c>
      <c r="D13" s="1">
        <v>-1225000</v>
      </c>
      <c r="E13" s="25" t="s">
        <v>19</v>
      </c>
      <c r="F13" s="25" t="s">
        <v>21</v>
      </c>
    </row>
    <row r="14" spans="1:6">
      <c r="A14" t="s">
        <v>30</v>
      </c>
      <c r="B14" s="1">
        <v>490000</v>
      </c>
      <c r="C14" s="1"/>
      <c r="D14" s="1">
        <v>490000</v>
      </c>
      <c r="E14" s="25" t="s">
        <v>23</v>
      </c>
      <c r="F14" s="25" t="s">
        <v>21</v>
      </c>
    </row>
    <row r="15" spans="1:6">
      <c r="A15" t="s">
        <v>32</v>
      </c>
      <c r="B15" s="1"/>
      <c r="C15" s="1">
        <v>142500</v>
      </c>
      <c r="D15" s="1">
        <v>-142500</v>
      </c>
      <c r="E15" s="25" t="s">
        <v>17</v>
      </c>
      <c r="F15" s="25" t="s">
        <v>9</v>
      </c>
    </row>
    <row r="16" spans="1:6">
      <c r="A16" t="s">
        <v>31</v>
      </c>
      <c r="B16" s="1">
        <v>142500</v>
      </c>
      <c r="C16" s="1"/>
      <c r="D16" s="1">
        <v>142500</v>
      </c>
      <c r="E16" s="25" t="s">
        <v>23</v>
      </c>
      <c r="F16" s="25" t="s">
        <v>21</v>
      </c>
    </row>
    <row r="17" spans="1:5">
      <c r="A17" t="s">
        <v>66</v>
      </c>
      <c r="B17" s="1">
        <v>10117500</v>
      </c>
      <c r="C17" s="1">
        <v>10117500</v>
      </c>
      <c r="D17" s="1">
        <v>0</v>
      </c>
      <c r="E17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workbookViewId="0">
      <selection activeCell="K6" sqref="K6"/>
    </sheetView>
  </sheetViews>
  <sheetFormatPr defaultColWidth="9" defaultRowHeight="14.4" outlineLevelCol="7"/>
  <cols>
    <col min="1" max="1" width="8.22222222222222" customWidth="1"/>
    <col min="2" max="2" width="2.77777777777778" customWidth="1"/>
    <col min="3" max="3" width="19.5555555555556" customWidth="1"/>
    <col min="4" max="4" width="23.7777777777778" customWidth="1"/>
    <col min="5" max="5" width="25.8888888888889" style="1" customWidth="1"/>
  </cols>
  <sheetData>
    <row r="1" ht="23.4" spans="2:8">
      <c r="B1" s="2" t="s">
        <v>0</v>
      </c>
    </row>
    <row r="2" ht="23.4" spans="2:8">
      <c r="B2" s="2" t="s">
        <v>21</v>
      </c>
    </row>
    <row r="3" ht="15.15" spans="2:8">
      <c r="B3" s="3" t="s">
        <v>69</v>
      </c>
      <c r="C3" s="4"/>
      <c r="D3" s="4"/>
      <c r="E3" s="5"/>
    </row>
    <row r="4" ht="6" customHeight="1"/>
    <row r="5" ht="21.6" customHeight="1" spans="2:8">
      <c r="B5" s="9" t="s">
        <v>19</v>
      </c>
      <c r="C5" s="15"/>
      <c r="D5" s="19" t="s">
        <v>70</v>
      </c>
      <c r="E5" s="11" t="s">
        <v>70</v>
      </c>
    </row>
    <row r="6" spans="2:8">
      <c r="C6" t="s">
        <v>22</v>
      </c>
      <c r="E6" s="1">
        <f>-VLOOKUP(C6,'Trail Balance'!$A$2:$D$14,4,0)</f>
        <v>1225000</v>
      </c>
    </row>
    <row r="7" spans="2:8">
      <c r="C7" t="s">
        <v>30</v>
      </c>
      <c r="E7" s="20">
        <f>-VLOOKUP(C7,'Trail Balance'!$A$2:$D$14,4,0)</f>
        <v>-490000</v>
      </c>
    </row>
    <row r="9" spans="2:8">
      <c r="B9" s="12" t="s">
        <v>71</v>
      </c>
      <c r="C9" s="12"/>
      <c r="D9" s="12"/>
      <c r="E9" s="13">
        <f>E6+E7</f>
        <v>735000</v>
      </c>
    </row>
    <row r="10" ht="7.8" customHeight="1"/>
    <row r="11" ht="21" spans="2:8">
      <c r="B11" s="9" t="s">
        <v>72</v>
      </c>
      <c r="C11" s="15"/>
      <c r="D11" s="15"/>
      <c r="E11" s="16"/>
      <c r="G11" s="7"/>
      <c r="H11" s="7"/>
    </row>
    <row r="12" spans="2:8">
      <c r="C12" t="s">
        <v>25</v>
      </c>
      <c r="D12" s="20">
        <f>VLOOKUP(C12,'Trail Balance'!$A$2:$D$14,4,0)</f>
        <v>45000</v>
      </c>
      <c r="E12" s="20"/>
      <c r="G12" s="7"/>
      <c r="H12" s="7"/>
    </row>
    <row r="13" spans="2:8">
      <c r="C13" t="s">
        <v>28</v>
      </c>
      <c r="D13" s="20">
        <f>VLOOKUP(C13,'Trail Balance'!$A$2:$D$14,4,0)</f>
        <v>35000</v>
      </c>
      <c r="E13" s="20"/>
    </row>
    <row r="14" spans="2:8">
      <c r="C14" t="s">
        <v>27</v>
      </c>
      <c r="D14" s="20">
        <f>VLOOKUP(C14,'Trail Balance'!$A$2:$D$14,4,0)</f>
        <v>110000</v>
      </c>
      <c r="E14" s="20"/>
    </row>
    <row r="15" spans="2:8">
      <c r="C15" t="s">
        <v>29</v>
      </c>
      <c r="D15" s="21">
        <f>VLOOKUP(C15,'Trail Balance'!$A$2:$D$14,4,0)</f>
        <v>70000</v>
      </c>
      <c r="E15" s="20"/>
    </row>
    <row r="16" spans="2:8">
      <c r="E16" s="1">
        <f>SUM(D12:D15)</f>
        <v>260000</v>
      </c>
    </row>
    <row r="17" spans="2:5">
      <c r="B17" s="12" t="s">
        <v>73</v>
      </c>
      <c r="C17" s="12"/>
      <c r="D17" s="12"/>
      <c r="E17" s="13">
        <f>E9-E16</f>
        <v>475000</v>
      </c>
    </row>
    <row r="18" spans="2:5">
      <c r="C18" t="s">
        <v>74</v>
      </c>
      <c r="E18" s="1">
        <f>E17*0.3</f>
        <v>142500</v>
      </c>
    </row>
    <row r="19" ht="15.6" spans="2:5">
      <c r="B19" s="22" t="s">
        <v>75</v>
      </c>
      <c r="C19" s="12"/>
      <c r="D19" s="12"/>
      <c r="E19" s="23">
        <f>E17-E18</f>
        <v>332500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40"/>
  <sheetViews>
    <sheetView showGridLines="0" zoomScale="60" zoomScaleNormal="60" workbookViewId="0">
      <selection activeCell="K16" sqref="K16"/>
    </sheetView>
  </sheetViews>
  <sheetFormatPr defaultColWidth="9" defaultRowHeight="14.4" outlineLevelCol="4"/>
  <cols>
    <col min="1" max="1" width="5.11111111111111" customWidth="1"/>
    <col min="2" max="2" width="5.88888888888889" customWidth="1"/>
    <col min="3" max="3" width="60.5555555555556" customWidth="1"/>
    <col min="4" max="4" width="14.6666666666667" customWidth="1"/>
    <col min="5" max="5" width="15.7777777777778" style="1" customWidth="1"/>
  </cols>
  <sheetData>
    <row r="1" ht="23.4" spans="2:5">
      <c r="B1" s="2" t="s">
        <v>0</v>
      </c>
    </row>
    <row r="2" ht="23.4" spans="2:5">
      <c r="B2" s="2" t="s">
        <v>76</v>
      </c>
    </row>
    <row r="3" ht="15.15" spans="2:5">
      <c r="B3" s="3" t="s">
        <v>77</v>
      </c>
      <c r="C3" s="4"/>
      <c r="D3" s="4"/>
      <c r="E3" s="5"/>
    </row>
    <row r="4" ht="6.6" customHeight="1" spans="2:5">
      <c r="B4" s="6"/>
      <c r="C4" s="7"/>
      <c r="D4" s="7"/>
      <c r="E4" s="8"/>
    </row>
    <row r="5" ht="21" spans="2:5">
      <c r="B5" s="9" t="s">
        <v>7</v>
      </c>
      <c r="C5" s="10"/>
      <c r="D5" s="10"/>
      <c r="E5" s="11" t="s">
        <v>70</v>
      </c>
    </row>
    <row r="6" spans="2:5">
      <c r="B6" s="12" t="s">
        <v>8</v>
      </c>
      <c r="C6" s="12"/>
      <c r="D6" s="12"/>
      <c r="E6" s="13"/>
    </row>
    <row r="7" spans="2:5">
      <c r="C7" t="s">
        <v>26</v>
      </c>
      <c r="E7" s="1">
        <f>VLOOKUP(C7,'Trail Balance'!$A$2:$D$15,4,0)</f>
        <v>250000</v>
      </c>
    </row>
    <row r="9" spans="2:5">
      <c r="B9" s="12" t="s">
        <v>78</v>
      </c>
      <c r="C9" s="12"/>
      <c r="D9" s="12"/>
      <c r="E9" s="13">
        <f>E7</f>
        <v>250000</v>
      </c>
    </row>
    <row r="10" ht="6.6" customHeight="1"/>
    <row r="11" spans="2:5">
      <c r="B11" s="12" t="s">
        <v>11</v>
      </c>
      <c r="C11" s="12"/>
      <c r="D11" s="12"/>
      <c r="E11" s="13"/>
    </row>
    <row r="12" spans="2:5">
      <c r="C12" t="s">
        <v>15</v>
      </c>
      <c r="E12" s="1">
        <f>VLOOKUP(C12,'Trail Balance'!$A$2:$D$15,4,0)</f>
        <v>490000</v>
      </c>
    </row>
    <row r="13" spans="2:5">
      <c r="C13" t="s">
        <v>10</v>
      </c>
      <c r="E13" s="1">
        <f>VLOOKUP(C13,'Trail Balance'!$A$2:$D$15,4,0)</f>
        <v>4425000</v>
      </c>
    </row>
    <row r="14" spans="2:5">
      <c r="C14" t="s">
        <v>20</v>
      </c>
      <c r="E14" s="1">
        <f>VLOOKUP(C14,'Trail Balance'!$A$2:$D$15,4,0)</f>
        <v>260000</v>
      </c>
    </row>
    <row r="15" spans="2:5">
      <c r="C15" t="s">
        <v>24</v>
      </c>
      <c r="E15" s="1">
        <f>VLOOKUP(C15,'Trail Balance'!$A$2:$D$15,4,0)</f>
        <v>800000</v>
      </c>
    </row>
    <row r="17" spans="2:5">
      <c r="B17" s="12"/>
      <c r="C17" s="12"/>
      <c r="D17" s="12"/>
      <c r="E17" s="13">
        <f>SUM(E12:E15)</f>
        <v>5975000</v>
      </c>
    </row>
    <row r="19" ht="21" spans="2:5">
      <c r="B19" s="14" t="s">
        <v>79</v>
      </c>
      <c r="C19" s="12"/>
      <c r="D19" s="12"/>
      <c r="E19" s="13">
        <f>E9+E17</f>
        <v>6225000</v>
      </c>
    </row>
    <row r="21" ht="21" spans="2:5">
      <c r="B21" s="9" t="s">
        <v>80</v>
      </c>
      <c r="C21" s="15"/>
      <c r="D21" s="15"/>
      <c r="E21" s="16"/>
    </row>
    <row r="22" spans="2:5">
      <c r="B22" s="12" t="s">
        <v>81</v>
      </c>
      <c r="C22" s="12"/>
      <c r="D22" s="12" t="s">
        <v>82</v>
      </c>
      <c r="E22" s="13"/>
    </row>
    <row r="24" spans="2:5">
      <c r="B24" s="12" t="s">
        <v>83</v>
      </c>
      <c r="C24" s="12"/>
      <c r="D24" s="12" t="s">
        <v>82</v>
      </c>
      <c r="E24" s="13"/>
    </row>
    <row r="25" ht="4.8" customHeight="1"/>
    <row r="26" spans="2:5">
      <c r="B26" s="12" t="s">
        <v>84</v>
      </c>
      <c r="C26" s="12"/>
      <c r="D26" s="12"/>
      <c r="E26" s="13"/>
    </row>
    <row r="27" spans="2:5">
      <c r="C27" t="s">
        <v>18</v>
      </c>
      <c r="D27" s="1">
        <f>-VLOOKUP(C27,'Trail Balance'!$A$2:$D$15,4,0)</f>
        <v>750000</v>
      </c>
    </row>
    <row r="28" spans="2:5">
      <c r="C28" t="s">
        <v>32</v>
      </c>
      <c r="D28" s="17">
        <f>-VLOOKUP(C28,'Trail Balance'!$A$2:$D$15,4,0)</f>
        <v>142500</v>
      </c>
    </row>
    <row r="29" spans="2:5">
      <c r="E29" s="1">
        <f>SUM(D27:D28)</f>
        <v>892500</v>
      </c>
    </row>
    <row r="30" spans="2:5">
      <c r="B30" s="12" t="s">
        <v>85</v>
      </c>
      <c r="C30" s="12"/>
      <c r="D30" s="12"/>
      <c r="E30" s="13">
        <f>D27+D28</f>
        <v>892500</v>
      </c>
    </row>
    <row r="32" spans="2:5">
      <c r="B32" s="12" t="s">
        <v>13</v>
      </c>
      <c r="C32" s="12"/>
      <c r="D32" s="12"/>
      <c r="E32" s="13"/>
    </row>
    <row r="33" spans="2:5">
      <c r="C33" t="s">
        <v>13</v>
      </c>
      <c r="D33" s="1">
        <v>5000000</v>
      </c>
    </row>
    <row r="34" spans="2:5">
      <c r="C34" t="s">
        <v>86</v>
      </c>
      <c r="D34" s="17">
        <v>332500</v>
      </c>
    </row>
    <row r="35" spans="2:5">
      <c r="D35" s="1"/>
      <c r="E35" s="1">
        <f>D33+D34</f>
        <v>5332500</v>
      </c>
    </row>
    <row r="36" spans="2:5">
      <c r="B36" s="12" t="s">
        <v>87</v>
      </c>
      <c r="C36" s="12"/>
      <c r="D36" s="12"/>
      <c r="E36" s="13">
        <f>E35</f>
        <v>5332500</v>
      </c>
    </row>
    <row r="38" ht="23.4" spans="2:5">
      <c r="B38" s="18" t="s">
        <v>88</v>
      </c>
      <c r="C38" s="12"/>
      <c r="D38" s="12"/>
      <c r="E38" s="13">
        <f>E30+E36</f>
        <v>6225000</v>
      </c>
    </row>
    <row r="40" spans="2:5">
      <c r="C40" t="s">
        <v>89</v>
      </c>
      <c r="E40" s="1">
        <f>E19-E38</f>
        <v>0</v>
      </c>
    </row>
  </sheetData>
  <pageMargins left="0.7" right="0.7" top="0.75" bottom="0.75" header="0.3" footer="0.3"/>
  <pageSetup paperSize="9" scale="77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Charts of Accounts</vt:lpstr>
      <vt:lpstr>Genral Entries</vt:lpstr>
      <vt:lpstr>Ledger</vt:lpstr>
      <vt:lpstr>Trail Balance</vt:lpstr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Moeen</dc:creator>
  <cp:lastModifiedBy>Safa Moeen</cp:lastModifiedBy>
  <dcterms:created xsi:type="dcterms:W3CDTF">2026-04-24T12:53:00Z</dcterms:created>
  <cp:lastPrinted>2026-05-03T19:28:00Z</cp:lastPrinted>
  <dcterms:modified xsi:type="dcterms:W3CDTF">2026-05-06T13:16:28Z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4BE53DEA777D47679004C1B929E74187_12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